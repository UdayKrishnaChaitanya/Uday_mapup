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day_Mapup\MapUp-DA-Assessment-2024\"/>
    </mc:Choice>
  </mc:AlternateContent>
  <xr:revisionPtr revIDLastSave="0" documentId="13_ncr:1_{F6584BFE-61BB-4495-9FC0-D42F4FB0D845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20" l="1"/>
  <c r="C27" i="20"/>
  <c r="C28" i="20"/>
  <c r="C29" i="20"/>
  <c r="C30" i="20"/>
  <c r="C31" i="20"/>
  <c r="C32" i="20"/>
  <c r="C33" i="20"/>
  <c r="C34" i="20"/>
  <c r="C35" i="20"/>
  <c r="C25" i="20"/>
  <c r="C24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6" i="18" a="1"/>
  <c r="F6" i="18" s="1"/>
  <c r="E6" i="18" a="1"/>
  <c r="E6" i="18" s="1"/>
  <c r="D6" i="18" a="1"/>
  <c r="D6" i="18" s="1"/>
  <c r="C6" i="18" a="1"/>
  <c r="C6" i="18" s="1"/>
  <c r="B6" i="18" a="1"/>
  <c r="B6" i="18" s="1"/>
  <c r="C5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<sst xmlns="http://schemas.openxmlformats.org/spreadsheetml/2006/main" count="404" uniqueCount="181">
  <si>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</si>
  <si>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</si>
  <si>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</si>
  <si>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</si>
  <si>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</si>
  <si>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</si>
  <si>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</si>
  <si>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</si>
  <si>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</si>
  <si>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</si>
  <si>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</si>
  <si>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</si>
  <si>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</si>
  <si>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</si>
  <si>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</si>
  <si>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</si>
  <si>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</si>
  <si>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</si>
  <si>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</si>
  <si>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</si>
  <si>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</si>
  <si>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</si>
  <si>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</si>
  <si>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</si>
  <si>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</si>
  <si>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</si>
  <si>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</si>
  <si>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</si>
  <si>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</si>
  <si>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</si>
  <si>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</si>
  <si>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</si>
  <si>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</si>
  <si>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</si>
  <si>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</si>
  <si>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</si>
  <si>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</si>
  <si>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</si>
  <si>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</si>
  <si>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</si>
  <si>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</si>
  <si>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</si>
  <si>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</si>
  <si>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</si>
  <si>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</si>
  <si>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</si>
  <si>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</si>
  <si>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</si>
  <si>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</si>
  <si>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</si>
  <si>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</si>
  <si>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</si>
  <si>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</si>
  <si>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</si>
  <si>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</si>
  <si>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</si>
  <si>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</si>
  <si>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</si>
  <si>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</si>
  <si>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</si>
  <si>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</si>
  <si>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</si>
  <si>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</si>
  <si>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</si>
  <si>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</si>
  <si>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</si>
  <si>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</si>
  <si>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</si>
  <si>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</si>
  <si>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</si>
  <si>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</si>
  <si>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</si>
  <si>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</si>
  <si>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</si>
  <si>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</si>
  <si>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</si>
  <si>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</si>
  <si>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</si>
  <si>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</si>
  <si>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</si>
  <si>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</si>
  <si>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</si>
  <si>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</si>
  <si>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</si>
  <si>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</si>
  <si>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</si>
  <si>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</si>
  <si>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</si>
  <si>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</si>
  <si>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</si>
  <si>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</si>
  <si>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</si>
  <si>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</si>
  <si>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</si>
  <si>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</si>
  <si>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</si>
  <si>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</si>
  <si>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</si>
  <si>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</si>
  <si>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</si>
  <si>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</si>
  <si>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</si>
  <si>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</si>
  <si>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</si>
  <si>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</si>
  <si>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</si>
  <si>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</si>
  <si>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</si>
  <si>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</si>
  <si>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</si>
  <si>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</si>
  <si>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</si>
  <si>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</si>
  <si>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</si>
  <si>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</si>
  <si>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</si>
  <si>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</si>
  <si>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</si>
  <si>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</si>
  <si>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</si>
  <si>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</si>
  <si>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</si>
  <si>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</si>
  <si>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</si>
  <si>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</si>
  <si>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</si>
  <si>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</si>
  <si>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</si>
  <si>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</si>
  <si>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</si>
  <si>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</si>
  <si>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</si>
  <si>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</si>
  <si>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</si>
  <si>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</si>
  <si>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</si>
  <si>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</si>
  <si>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</si>
  <si>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</si>
  <si>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</si>
  <si>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</si>
  <si>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</si>
  <si>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</si>
  <si>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</si>
  <si>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</si>
  <si>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</si>
  <si>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</si>
  <si>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</si>
  <si>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</si>
  <si>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</si>
  <si>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</si>
  <si>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</si>
  <si>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</si>
  <si>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</si>
  <si>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</si>
  <si>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</si>
  <si>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</si>
  <si>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</si>
  <si>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</si>
  <si>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</si>
  <si>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</si>
  <si>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</si>
  <si>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</si>
  <si>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</si>
  <si>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</si>
  <si>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</si>
  <si>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</si>
  <si>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</si>
  <si>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</si>
  <si>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</si>
  <si>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</si>
  <si>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</si>
  <si>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</si>
  <si>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</si>
  <si>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</si>
  <si>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</si>
  <si>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</si>
  <si>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Find &amp; Replace</t>
  </si>
  <si>
    <t>I used find and replace function on sales coloumn which is used to find #N/A and replace with 20 , so after replacing #N/A with 20, I used sum function to calculate the sales.</t>
  </si>
  <si>
    <t>INDEX($B$10:$J$18,MATCH(A23,$M$10:$M$18,0),MATCH(B23,$M$10:$M$18,0))</t>
  </si>
  <si>
    <t>Here I used index and match functions to fill the values in table c , Actually table B contains ID which is used to represent names such as A,B and up to I and Table A contains values which rows and coloumns are used to represent with A, B and up to I , So in table C , it is asking for value in which name _1 used as a row Number and name_2 used as a Coloumn Number . Here firstly i used index function with table A range and for row number i used match function same for coloumn number also. for example 10100 Id contains Name as A and 10102 Id contains Name as B ,so in table A  "A" row and "B"coloumn contains 95 like 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</si>
</sst>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5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  <xf numFmtId="2" fontId="3" fillId="5" borderId="1" xfId="0" applyNumberFormat="1" applyFont="1" applyFill="1" applyBorder="1"/>
    <xf numFmtId="0" fontId="18" fillId="0" borderId="3" xfId="0" applyFont="1" applyBorder="1"/>
    <xf numFmtId="0" fontId="12" fillId="0" borderId="12" xfId="1" applyFont="1" applyBorder="1"/>
    <xf numFmtId="0" fontId="8" fillId="0" borderId="13" xfId="0" applyFont="1" applyBorder="1"/>
    <xf numFmtId="0" fontId="8" fillId="0" borderId="14" xfId="0" applyFont="1" applyBorder="1"/>
    <xf numFmtId="0" fontId="8" fillId="0" borderId="0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40"/>
  <sheetViews>
    <sheetView zoomScaleNormal="100" workbookViewId="0">
      <pane ySplit="1" topLeftCell="A25" activePane="bottomLeft" state="frozen"/>
      <selection pane="bottomLeft" activeCell="G19" sqref="G1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6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6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6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6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  <c r="Z36" s="46"/>
    </row>
    <row r="37" spans="1:26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6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6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6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G2:W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8" zoomScaleNormal="100" workbookViewId="0">
      <selection activeCell="H21" sqref="H2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cm="1">
        <f t="array" ref="B6:B27">VLOOKUP(A6:A27,Dataset!A2:G40,7,0)</f>
        <v>2.7</v>
      </c>
      <c r="C6" s="12" cm="1">
        <f t="array" ref="C6:C27">VLOOKUP(A6:A27,Dataset!A2:T40,MATCH(Dataset!N1,Dataset!1:1,0),0)</f>
        <v>7.6</v>
      </c>
      <c r="D6" s="12" cm="1">
        <f t="array" ref="D6:D27">VLOOKUP(A6:A27,Dataset!A2:R40,MATCH(Dataset!R1,Dataset!1:1,0),0)</f>
        <v>4.2</v>
      </c>
      <c r="E6" s="12" cm="1">
        <f t="array" ref="E6:E27">VLOOKUP(A6:A27,Dataset!A2:W40,MATCH(Dataset!T1,Dataset!1:1,0),0)</f>
        <v>8.9</v>
      </c>
      <c r="F6" s="8" cm="1">
        <f t="array" ref="F6:F27">VLOOKUP(A6:A27,Dataset!A2:X40,MATCH(Dataset!V1,Dataset!1:1,0),0)</f>
        <v>4.2</v>
      </c>
    </row>
    <row r="7" spans="1:7" ht="14.4" x14ac:dyDescent="0.3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 s="31">
        <f>MIN(_xlfn.ANCHORARRAY(B6))</f>
        <v>-1</v>
      </c>
      <c r="C28" s="31">
        <f t="shared" ref="C28:F28" si="0">MIN(_xlfn.ANCHORARRAY(C6))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MAX(_xlfn.ANCHORARRAY(B6))</f>
        <v>51.8</v>
      </c>
      <c r="C29" s="31">
        <f t="shared" ref="C29:F29" si="1">MAX(_xlfn.ANCHORARRAY(C6))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47">
        <f>AVERAGE(_xlfn.ANCHORARRAY(B6))</f>
        <v>20.827272727272728</v>
      </c>
      <c r="C30" s="47">
        <f t="shared" ref="C30:F30" si="2">AVERAGE(_xlfn.ANCHORARRAY(C6))</f>
        <v>62.377272727272725</v>
      </c>
      <c r="D30" s="47">
        <f t="shared" si="2"/>
        <v>37.800000000000004</v>
      </c>
      <c r="E30" s="47">
        <f t="shared" si="2"/>
        <v>76.418181818181822</v>
      </c>
      <c r="F30" s="4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H14" sqref="H1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G19" sqref="G1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177</v>
      </c>
    </row>
    <row r="7" spans="1:3" ht="14.4" x14ac:dyDescent="0.3">
      <c r="A7" s="3" t="s">
        <v>152</v>
      </c>
      <c r="B7" s="1" t="s">
        <v>178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>
        <v>20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>
        <v>20</v>
      </c>
    </row>
    <row r="22" spans="1:3" ht="14.4" x14ac:dyDescent="0.3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7"/>
  <sheetViews>
    <sheetView tabSelected="1" zoomScaleNormal="100" workbookViewId="0">
      <selection activeCell="E26" sqref="E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  <c r="C4" s="48" t="s">
        <v>179</v>
      </c>
    </row>
    <row r="5" spans="1:14" ht="18" x14ac:dyDescent="0.35">
      <c r="A5" s="43" t="s">
        <v>152</v>
      </c>
      <c r="B5" s="1" t="s">
        <v>180</v>
      </c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49" t="s">
        <v>167</v>
      </c>
      <c r="B21" s="50"/>
      <c r="C21" s="51"/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INDEX($B$10:$J$18,MATCH(A23,$M$10:$M$18,0),MATCH(B23,$M$10:$M$18,0))</f>
        <v>95</v>
      </c>
    </row>
    <row r="24" spans="1:14" ht="14.4" x14ac:dyDescent="0.3">
      <c r="A24" s="7">
        <v>10100</v>
      </c>
      <c r="B24" s="12">
        <v>10104</v>
      </c>
      <c r="C24" s="44">
        <f>INDEX($B$10:$J$18,MATCH(A24,$M$10:$M$18,0),MATCH(B24,$M$10:$M$18,0))</f>
        <v>-1</v>
      </c>
    </row>
    <row r="25" spans="1:14" ht="14.4" x14ac:dyDescent="0.3">
      <c r="A25" s="7">
        <v>10108</v>
      </c>
      <c r="B25" s="12">
        <v>10102</v>
      </c>
      <c r="C25" s="44">
        <f>INDEX($B$10:$J$18,MATCH(A25,$M$10:$M$18,0),MATCH(B25,$M$10:$M$18,0))</f>
        <v>160</v>
      </c>
    </row>
    <row r="26" spans="1:14" ht="14.4" x14ac:dyDescent="0.3">
      <c r="A26" s="7">
        <v>10100</v>
      </c>
      <c r="B26" s="12">
        <v>10106</v>
      </c>
      <c r="C26" s="44">
        <f t="shared" ref="C26:C35" si="0">INDEX($B$10:$J$18,MATCH(A26,$M$10:$M$18,0),MATCH(B26,$M$10:$M$18,0))</f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4" ht="14.4" x14ac:dyDescent="0.3">
      <c r="A33" s="7">
        <v>10110</v>
      </c>
      <c r="B33" s="12">
        <v>10112</v>
      </c>
      <c r="C33" s="44">
        <f t="shared" si="0"/>
        <v>115</v>
      </c>
    </row>
    <row r="34" spans="1:4" ht="14.4" x14ac:dyDescent="0.3">
      <c r="A34" s="7">
        <v>10100</v>
      </c>
      <c r="B34" s="12">
        <v>10114</v>
      </c>
      <c r="C34" s="44">
        <f t="shared" si="0"/>
        <v>480</v>
      </c>
    </row>
    <row r="35" spans="1:4" ht="14.4" x14ac:dyDescent="0.3">
      <c r="A35" s="9">
        <v>10112</v>
      </c>
      <c r="B35" s="13">
        <v>10116</v>
      </c>
      <c r="C35" s="45">
        <f t="shared" si="0"/>
        <v>105</v>
      </c>
    </row>
    <row r="36" spans="1:4" x14ac:dyDescent="0.3">
      <c r="C36" s="52"/>
      <c r="D36" s="52"/>
    </row>
    <row r="37" spans="1:4" x14ac:dyDescent="0.3">
      <c r="C37" s="52"/>
      <c r="D37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jalli john samuel</cp:lastModifiedBy>
  <dcterms:created xsi:type="dcterms:W3CDTF">2015-02-10T17:33:11Z</dcterms:created>
  <dcterms:modified xsi:type="dcterms:W3CDTF">2024-10-23T22:30:13Z</dcterms:modified>
</cp:coreProperties>
</file>